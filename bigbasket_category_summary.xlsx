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Category Targets" sheetId="2" state="visible" r:id="rId2"/>
    <sheet xmlns:r="http://schemas.openxmlformats.org/officeDocument/2006/relationships" name="Pivot Output" sheetId="3" state="visible" r:id="rId3"/>
    <sheet xmlns:r="http://schemas.openxmlformats.org/officeDocument/2006/relationships" name="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5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avg_revenue</t>
        </is>
      </c>
    </row>
    <row r="2">
      <c r="A2" t="inlineStr">
        <is>
          <t>Bakery</t>
        </is>
      </c>
      <c r="B2" t="inlineStr">
        <is>
          <t>2026-01</t>
        </is>
      </c>
      <c r="C2" t="n">
        <v>6</v>
      </c>
      <c r="D2" t="n">
        <v>735</v>
      </c>
      <c r="E2" t="n">
        <v>122.5</v>
      </c>
    </row>
    <row r="3">
      <c r="A3" t="inlineStr">
        <is>
          <t>Bakery</t>
        </is>
      </c>
      <c r="B3" t="inlineStr">
        <is>
          <t>2026-02</t>
        </is>
      </c>
      <c r="C3" t="n">
        <v>8</v>
      </c>
      <c r="D3" t="n">
        <v>2440</v>
      </c>
      <c r="E3" t="n">
        <v>305</v>
      </c>
    </row>
    <row r="4">
      <c r="A4" t="inlineStr">
        <is>
          <t>Bakery</t>
        </is>
      </c>
      <c r="B4" t="inlineStr">
        <is>
          <t>2026-03</t>
        </is>
      </c>
      <c r="C4" t="n">
        <v>11</v>
      </c>
      <c r="D4" t="n">
        <v>3090</v>
      </c>
      <c r="E4" t="n">
        <v>280.9090909090909</v>
      </c>
    </row>
    <row r="5">
      <c r="A5" t="inlineStr">
        <is>
          <t>Bakery</t>
        </is>
      </c>
      <c r="B5" t="inlineStr">
        <is>
          <t>2026-04</t>
        </is>
      </c>
      <c r="C5" t="n">
        <v>13</v>
      </c>
      <c r="D5" t="n">
        <v>3115</v>
      </c>
      <c r="E5" t="n">
        <v>239.6153846153846</v>
      </c>
    </row>
    <row r="6">
      <c r="A6" t="inlineStr">
        <is>
          <t>Bakery</t>
        </is>
      </c>
      <c r="B6" t="inlineStr">
        <is>
          <t>2026-05</t>
        </is>
      </c>
      <c r="C6" t="n">
        <v>15</v>
      </c>
      <c r="D6" t="n">
        <v>3695</v>
      </c>
      <c r="E6" t="n">
        <v>246.3333333333333</v>
      </c>
    </row>
    <row r="7">
      <c r="A7" t="inlineStr">
        <is>
          <t>Bakery</t>
        </is>
      </c>
      <c r="B7" t="inlineStr">
        <is>
          <t>2026-06</t>
        </is>
      </c>
      <c r="C7" t="n">
        <v>14</v>
      </c>
      <c r="D7" t="n">
        <v>2335</v>
      </c>
      <c r="E7" t="n">
        <v>166.7857142857143</v>
      </c>
    </row>
    <row r="8">
      <c r="A8" t="inlineStr">
        <is>
          <t>Dairy &amp; Eggs</t>
        </is>
      </c>
      <c r="B8" t="inlineStr">
        <is>
          <t>2026-01</t>
        </is>
      </c>
      <c r="C8" t="n">
        <v>9</v>
      </c>
      <c r="D8" t="n">
        <v>2035</v>
      </c>
      <c r="E8" t="n">
        <v>226.1111111111111</v>
      </c>
    </row>
    <row r="9">
      <c r="A9" t="inlineStr">
        <is>
          <t>Dairy &amp; Eggs</t>
        </is>
      </c>
      <c r="B9" t="inlineStr">
        <is>
          <t>2026-02</t>
        </is>
      </c>
      <c r="C9" t="n">
        <v>8</v>
      </c>
      <c r="D9" t="n">
        <v>1935</v>
      </c>
      <c r="E9" t="n">
        <v>241.875</v>
      </c>
    </row>
    <row r="10">
      <c r="A10" t="inlineStr">
        <is>
          <t>Dairy &amp; Eggs</t>
        </is>
      </c>
      <c r="B10" t="inlineStr">
        <is>
          <t>2026-03</t>
        </is>
      </c>
      <c r="C10" t="n">
        <v>15</v>
      </c>
      <c r="D10" t="n">
        <v>3163</v>
      </c>
      <c r="E10" t="n">
        <v>210.8666666666667</v>
      </c>
    </row>
    <row r="11">
      <c r="A11" t="inlineStr">
        <is>
          <t>Dairy &amp; Eggs</t>
        </is>
      </c>
      <c r="B11" t="inlineStr">
        <is>
          <t>2026-04</t>
        </is>
      </c>
      <c r="C11" t="n">
        <v>9</v>
      </c>
      <c r="D11" t="n">
        <v>1650</v>
      </c>
      <c r="E11" t="n">
        <v>183.3333333333333</v>
      </c>
    </row>
    <row r="12">
      <c r="A12" t="inlineStr">
        <is>
          <t>Dairy &amp; Eggs</t>
        </is>
      </c>
      <c r="B12" t="inlineStr">
        <is>
          <t>2026-05</t>
        </is>
      </c>
      <c r="C12" t="n">
        <v>14</v>
      </c>
      <c r="D12" t="n">
        <v>3479</v>
      </c>
      <c r="E12" t="n">
        <v>248.5</v>
      </c>
    </row>
    <row r="13">
      <c r="A13" t="inlineStr">
        <is>
          <t>Dairy &amp; Eggs</t>
        </is>
      </c>
      <c r="B13" t="inlineStr">
        <is>
          <t>2026-06</t>
        </is>
      </c>
      <c r="C13" t="n">
        <v>11</v>
      </c>
      <c r="D13" t="n">
        <v>1828</v>
      </c>
      <c r="E13" t="n">
        <v>166.1818181818182</v>
      </c>
    </row>
    <row r="14">
      <c r="A14" t="inlineStr">
        <is>
          <t>Fruits &amp; Vegetables</t>
        </is>
      </c>
      <c r="B14" t="inlineStr">
        <is>
          <t>2026-01</t>
        </is>
      </c>
      <c r="C14" t="n">
        <v>12</v>
      </c>
      <c r="D14" t="n">
        <v>1290</v>
      </c>
      <c r="E14" t="n">
        <v>107.5</v>
      </c>
    </row>
    <row r="15">
      <c r="A15" t="inlineStr">
        <is>
          <t>Fruits &amp; Vegetables</t>
        </is>
      </c>
      <c r="B15" t="inlineStr">
        <is>
          <t>2026-02</t>
        </is>
      </c>
      <c r="C15" t="n">
        <v>13</v>
      </c>
      <c r="D15" t="n">
        <v>2090</v>
      </c>
      <c r="E15" t="n">
        <v>160.7692307692308</v>
      </c>
    </row>
    <row r="16">
      <c r="A16" t="inlineStr">
        <is>
          <t>Fruits &amp; Vegetables</t>
        </is>
      </c>
      <c r="B16" t="inlineStr">
        <is>
          <t>2026-03</t>
        </is>
      </c>
      <c r="C16" t="n">
        <v>13</v>
      </c>
      <c r="D16" t="n">
        <v>2080</v>
      </c>
      <c r="E16" t="n">
        <v>160</v>
      </c>
    </row>
    <row r="17">
      <c r="A17" t="inlineStr">
        <is>
          <t>Fruits &amp; Vegetables</t>
        </is>
      </c>
      <c r="B17" t="inlineStr">
        <is>
          <t>2026-04</t>
        </is>
      </c>
      <c r="C17" t="n">
        <v>14</v>
      </c>
      <c r="D17" t="n">
        <v>1400</v>
      </c>
      <c r="E17" t="n">
        <v>100</v>
      </c>
    </row>
    <row r="18">
      <c r="A18" t="inlineStr">
        <is>
          <t>Fruits &amp; Vegetables</t>
        </is>
      </c>
      <c r="B18" t="inlineStr">
        <is>
          <t>2026-05</t>
        </is>
      </c>
      <c r="C18" t="n">
        <v>12</v>
      </c>
      <c r="D18" t="n">
        <v>1870</v>
      </c>
      <c r="E18" t="n">
        <v>155.8333333333333</v>
      </c>
    </row>
    <row r="19">
      <c r="A19" t="inlineStr">
        <is>
          <t>Fruits &amp; Vegetables</t>
        </is>
      </c>
      <c r="B19" t="inlineStr">
        <is>
          <t>2026-06</t>
        </is>
      </c>
      <c r="C19" t="n">
        <v>9</v>
      </c>
      <c r="D19" t="n">
        <v>1060</v>
      </c>
      <c r="E19" t="n">
        <v>117.7777777777778</v>
      </c>
    </row>
    <row r="20">
      <c r="A20" t="inlineStr">
        <is>
          <t>Household Essentials</t>
        </is>
      </c>
      <c r="B20" t="inlineStr">
        <is>
          <t>2026-01</t>
        </is>
      </c>
      <c r="C20" t="n">
        <v>10</v>
      </c>
      <c r="D20" t="n">
        <v>2099</v>
      </c>
      <c r="E20" t="n">
        <v>209.9</v>
      </c>
    </row>
    <row r="21">
      <c r="A21" t="inlineStr">
        <is>
          <t>Household Essentials</t>
        </is>
      </c>
      <c r="B21" t="inlineStr">
        <is>
          <t>2026-02</t>
        </is>
      </c>
      <c r="C21" t="n">
        <v>16</v>
      </c>
      <c r="D21" t="n">
        <v>5113</v>
      </c>
      <c r="E21" t="n">
        <v>319.5625</v>
      </c>
    </row>
    <row r="22">
      <c r="A22" t="inlineStr">
        <is>
          <t>Household Essentials</t>
        </is>
      </c>
      <c r="B22" t="inlineStr">
        <is>
          <t>2026-03</t>
        </is>
      </c>
      <c r="C22" t="n">
        <v>8</v>
      </c>
      <c r="D22" t="n">
        <v>1885</v>
      </c>
      <c r="E22" t="n">
        <v>235.625</v>
      </c>
    </row>
    <row r="23">
      <c r="A23" t="inlineStr">
        <is>
          <t>Household Essentials</t>
        </is>
      </c>
      <c r="B23" t="inlineStr">
        <is>
          <t>2026-04</t>
        </is>
      </c>
      <c r="C23" t="n">
        <v>17</v>
      </c>
      <c r="D23" t="n">
        <v>5491</v>
      </c>
      <c r="E23" t="n">
        <v>323</v>
      </c>
    </row>
    <row r="24">
      <c r="A24" t="inlineStr">
        <is>
          <t>Household Essentials</t>
        </is>
      </c>
      <c r="B24" t="inlineStr">
        <is>
          <t>2026-05</t>
        </is>
      </c>
      <c r="C24" t="n">
        <v>16</v>
      </c>
      <c r="D24" t="n">
        <v>3477</v>
      </c>
      <c r="E24" t="n">
        <v>217.3125</v>
      </c>
    </row>
    <row r="25">
      <c r="A25" t="inlineStr">
        <is>
          <t>Household Essentials</t>
        </is>
      </c>
      <c r="B25" t="inlineStr">
        <is>
          <t>2026-06</t>
        </is>
      </c>
      <c r="C25" t="n">
        <v>12</v>
      </c>
      <c r="D25" t="n">
        <v>3650</v>
      </c>
      <c r="E25" t="n">
        <v>304.1666666666667</v>
      </c>
    </row>
    <row r="26">
      <c r="A26" t="inlineStr">
        <is>
          <t>Personal Care</t>
        </is>
      </c>
      <c r="B26" t="inlineStr">
        <is>
          <t>2026-01</t>
        </is>
      </c>
      <c r="C26" t="n">
        <v>12</v>
      </c>
      <c r="D26" t="n">
        <v>3608</v>
      </c>
      <c r="E26" t="n">
        <v>300.6666666666667</v>
      </c>
    </row>
    <row r="27">
      <c r="A27" t="inlineStr">
        <is>
          <t>Personal Care</t>
        </is>
      </c>
      <c r="B27" t="inlineStr">
        <is>
          <t>2026-02</t>
        </is>
      </c>
      <c r="C27" t="n">
        <v>8</v>
      </c>
      <c r="D27" t="n">
        <v>2177</v>
      </c>
      <c r="E27" t="n">
        <v>272.125</v>
      </c>
    </row>
    <row r="28">
      <c r="A28" t="inlineStr">
        <is>
          <t>Personal Care</t>
        </is>
      </c>
      <c r="B28" t="inlineStr">
        <is>
          <t>2026-03</t>
        </is>
      </c>
      <c r="C28" t="n">
        <v>11</v>
      </c>
      <c r="D28" t="n">
        <v>2807</v>
      </c>
      <c r="E28" t="n">
        <v>255.1818181818182</v>
      </c>
    </row>
    <row r="29">
      <c r="A29" t="inlineStr">
        <is>
          <t>Personal Care</t>
        </is>
      </c>
      <c r="B29" t="inlineStr">
        <is>
          <t>2026-04</t>
        </is>
      </c>
      <c r="C29" t="n">
        <v>9</v>
      </c>
      <c r="D29" t="n">
        <v>1970</v>
      </c>
      <c r="E29" t="n">
        <v>218.8888888888889</v>
      </c>
    </row>
    <row r="30">
      <c r="A30" t="inlineStr">
        <is>
          <t>Personal Care</t>
        </is>
      </c>
      <c r="B30" t="inlineStr">
        <is>
          <t>2026-05</t>
        </is>
      </c>
      <c r="C30" t="n">
        <v>13</v>
      </c>
      <c r="D30" t="n">
        <v>3045</v>
      </c>
      <c r="E30" t="n">
        <v>234.2307692307692</v>
      </c>
    </row>
    <row r="31">
      <c r="A31" t="inlineStr">
        <is>
          <t>Personal Care</t>
        </is>
      </c>
      <c r="B31" t="inlineStr">
        <is>
          <t>2026-06</t>
        </is>
      </c>
      <c r="C31" t="n">
        <v>13</v>
      </c>
      <c r="D31" t="n">
        <v>2775</v>
      </c>
      <c r="E31" t="n">
        <v>213.4615384615385</v>
      </c>
    </row>
    <row r="32">
      <c r="A32" t="inlineStr">
        <is>
          <t>Snacks &amp; Beverages</t>
        </is>
      </c>
      <c r="B32" t="inlineStr">
        <is>
          <t>2026-01</t>
        </is>
      </c>
      <c r="C32" t="n">
        <v>10</v>
      </c>
      <c r="D32" t="n">
        <v>1290</v>
      </c>
      <c r="E32" t="n">
        <v>129</v>
      </c>
    </row>
    <row r="33">
      <c r="A33" t="inlineStr">
        <is>
          <t>Snacks &amp; Beverages</t>
        </is>
      </c>
      <c r="B33" t="inlineStr">
        <is>
          <t>2026-02</t>
        </is>
      </c>
      <c r="C33" t="n">
        <v>11</v>
      </c>
      <c r="D33" t="n">
        <v>1330</v>
      </c>
      <c r="E33" t="n">
        <v>120.9090909090909</v>
      </c>
    </row>
    <row r="34">
      <c r="A34" t="inlineStr">
        <is>
          <t>Snacks &amp; Beverages</t>
        </is>
      </c>
      <c r="B34" t="inlineStr">
        <is>
          <t>2026-03</t>
        </is>
      </c>
      <c r="C34" t="n">
        <v>15</v>
      </c>
      <c r="D34" t="n">
        <v>1670</v>
      </c>
      <c r="E34" t="n">
        <v>111.3333333333333</v>
      </c>
    </row>
    <row r="35">
      <c r="A35" t="inlineStr">
        <is>
          <t>Snacks &amp; Beverages</t>
        </is>
      </c>
      <c r="B35" t="inlineStr">
        <is>
          <t>2026-04</t>
        </is>
      </c>
      <c r="C35" t="n">
        <v>19</v>
      </c>
      <c r="D35" t="n">
        <v>2980</v>
      </c>
      <c r="E35" t="n">
        <v>156.8421052631579</v>
      </c>
    </row>
    <row r="36">
      <c r="A36" t="inlineStr">
        <is>
          <t>Snacks &amp; Beverages</t>
        </is>
      </c>
      <c r="B36" t="inlineStr">
        <is>
          <t>2026-05</t>
        </is>
      </c>
      <c r="C36" t="n">
        <v>13</v>
      </c>
      <c r="D36" t="n">
        <v>1665</v>
      </c>
      <c r="E36" t="n">
        <v>128.0769230769231</v>
      </c>
    </row>
    <row r="37">
      <c r="A37" t="inlineStr">
        <is>
          <t>Snacks &amp; Beverages</t>
        </is>
      </c>
      <c r="B37" t="inlineStr">
        <is>
          <t>2026-06</t>
        </is>
      </c>
      <c r="C37" t="n">
        <v>15</v>
      </c>
      <c r="D37" t="n">
        <v>1960</v>
      </c>
      <c r="E37" t="n">
        <v>130.6666666666667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target_revenue_inr</t>
        </is>
      </c>
    </row>
    <row r="2">
      <c r="A2" t="inlineStr">
        <is>
          <t>Fruits &amp; Vegetables</t>
        </is>
      </c>
      <c r="B2" t="n">
        <v>12000</v>
      </c>
    </row>
    <row r="3">
      <c r="A3" t="inlineStr">
        <is>
          <t>Dairy &amp; Eggs</t>
        </is>
      </c>
      <c r="B3" t="n">
        <v>16500</v>
      </c>
    </row>
    <row r="4">
      <c r="A4" t="inlineStr">
        <is>
          <t>Snacks &amp; Beverages</t>
        </is>
      </c>
      <c r="B4" t="n">
        <v>13000</v>
      </c>
    </row>
    <row r="5">
      <c r="A5" t="inlineStr">
        <is>
          <t>Personal Care</t>
        </is>
      </c>
      <c r="B5" t="n">
        <v>15500</v>
      </c>
    </row>
    <row r="6">
      <c r="A6" t="inlineStr">
        <is>
          <t>Household Essentials</t>
        </is>
      </c>
      <c r="B6" t="n">
        <v>17000</v>
      </c>
    </row>
    <row r="7">
      <c r="A7" t="inlineStr">
        <is>
          <t>Bakery</t>
        </is>
      </c>
      <c r="B7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1" t="inlineStr">
        <is>
          <t>category</t>
        </is>
      </c>
      <c r="B1" s="1" t="inlineStr">
        <is>
          <t>sum_total_revenue</t>
        </is>
      </c>
      <c r="C1" s="1" t="inlineStr">
        <is>
          <t>sum_order_count</t>
        </is>
      </c>
    </row>
    <row r="2">
      <c r="A2" t="inlineStr">
        <is>
          <t>Fruits &amp; Vegetables</t>
        </is>
      </c>
      <c r="B2">
        <f>SUMIF('Monthly Data'!A2:A37,A2,'Monthly Data'!D2:D37)</f>
        <v/>
      </c>
      <c r="C2">
        <f>SUMIF('Monthly Data'!A2:A37,A2,'Monthly Data'!C2:C37)</f>
        <v/>
      </c>
    </row>
    <row r="3">
      <c r="A3" t="inlineStr">
        <is>
          <t>Dairy &amp; Eggs</t>
        </is>
      </c>
      <c r="B3">
        <f>SUMIF('Monthly Data'!A2:A37,A3,'Monthly Data'!D2:D37)</f>
        <v/>
      </c>
      <c r="C3">
        <f>SUMIF('Monthly Data'!A2:A37,A3,'Monthly Data'!C2:C37)</f>
        <v/>
      </c>
    </row>
    <row r="4">
      <c r="A4" t="inlineStr">
        <is>
          <t>Snacks &amp; Beverages</t>
        </is>
      </c>
      <c r="B4">
        <f>SUMIF('Monthly Data'!A2:A37,A4,'Monthly Data'!D2:D37)</f>
        <v/>
      </c>
      <c r="C4">
        <f>SUMIF('Monthly Data'!A2:A37,A4,'Monthly Data'!C2:C37)</f>
        <v/>
      </c>
    </row>
    <row r="5">
      <c r="A5" t="inlineStr">
        <is>
          <t>Personal Care</t>
        </is>
      </c>
      <c r="B5">
        <f>SUMIF('Monthly Data'!A2:A37,A5,'Monthly Data'!D2:D37)</f>
        <v/>
      </c>
      <c r="C5">
        <f>SUMIF('Monthly Data'!A2:A37,A5,'Monthly Data'!C2:C37)</f>
        <v/>
      </c>
    </row>
    <row r="6">
      <c r="A6" t="inlineStr">
        <is>
          <t>Household Essentials</t>
        </is>
      </c>
      <c r="B6">
        <f>SUMIF('Monthly Data'!A2:A37,A6,'Monthly Data'!D2:D37)</f>
        <v/>
      </c>
      <c r="C6">
        <f>SUMIF('Monthly Data'!A2:A37,A6,'Monthly Data'!C2:C37)</f>
        <v/>
      </c>
    </row>
    <row r="7">
      <c r="A7" t="inlineStr">
        <is>
          <t>Bakery</t>
        </is>
      </c>
      <c r="B7">
        <f>SUMIF('Monthly Data'!A2:A37,A7,'Monthly Data'!D2:D37)</f>
        <v/>
      </c>
      <c r="C7">
        <f>SUMIF('Monthly Data'!A2:A37,A7,'Monthly Data'!C2:C37)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10" customWidth="1" min="4" max="4"/>
    <col width="21" customWidth="1" min="5" max="5"/>
    <col width="32" customWidth="1" min="6" max="6"/>
    <col width="32" customWidth="1" min="7" max="7"/>
  </cols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target_revenue_inr</t>
        </is>
      </c>
      <c r="D1" s="1" t="inlineStr">
        <is>
          <t>variance</t>
        </is>
      </c>
      <c r="E1" s="1" t="inlineStr">
        <is>
          <t>percentage_variance</t>
        </is>
      </c>
      <c r="F1" s="1" t="inlineStr">
        <is>
          <t>status_tag</t>
        </is>
      </c>
      <c r="G1" s="1" t="inlineStr">
        <is>
          <t>Matches Part 1 SQL total?</t>
        </is>
      </c>
    </row>
    <row r="2">
      <c r="A2" t="inlineStr">
        <is>
          <t>Fruits &amp; Vegetables</t>
        </is>
      </c>
      <c r="B2" s="2">
        <f>'Pivot Output'!B2</f>
        <v/>
      </c>
      <c r="C2" s="2">
        <f>_xlfn.XLOOKUP(A2,'Category Targets'!A:A,'Category Targets'!B:B,"Not Found")</f>
        <v/>
      </c>
      <c r="D2" s="2">
        <f>C2-B2</f>
        <v/>
      </c>
      <c r="E2" s="3">
        <f>((B2-C2)/C2)*100</f>
        <v/>
      </c>
      <c r="F2">
        <f>IF(B2&gt;=C2,"Above Target",IF(((C2-B2)/C2)*100&lt;=15,"Below Target - Watch","Below Target - Critical"))</f>
        <v/>
      </c>
      <c r="G2">
        <f>IF(B2=9790,"Yes","No - MISMATCH")</f>
        <v/>
      </c>
    </row>
    <row r="3">
      <c r="A3" t="inlineStr">
        <is>
          <t>Dairy &amp; Eggs</t>
        </is>
      </c>
      <c r="B3" s="2">
        <f>'Pivot Output'!B3</f>
        <v/>
      </c>
      <c r="C3" s="2">
        <f>_xlfn.XLOOKUP(A3,'Category Targets'!A:A,'Category Targets'!B:B,"Not Found")</f>
        <v/>
      </c>
      <c r="D3" s="2">
        <f>C3-B3</f>
        <v/>
      </c>
      <c r="E3" s="3">
        <f>((B3-C3)/C3)*100</f>
        <v/>
      </c>
      <c r="F3">
        <f>IF(B3&gt;=C3,"Above Target",IF(((C3-B3)/C3)*100&lt;=15,"Below Target - Watch","Below Target - Critical"))</f>
        <v/>
      </c>
      <c r="G3">
        <f>IF(B3=14090,"Yes","No - MISMATCH")</f>
        <v/>
      </c>
    </row>
    <row r="4">
      <c r="A4" t="inlineStr">
        <is>
          <t>Snacks &amp; Beverages</t>
        </is>
      </c>
      <c r="B4" s="2">
        <f>'Pivot Output'!B4</f>
        <v/>
      </c>
      <c r="C4" s="2">
        <f>_xlfn.XLOOKUP(A4,'Category Targets'!A:A,'Category Targets'!B:B,"Not Found")</f>
        <v/>
      </c>
      <c r="D4" s="2">
        <f>C4-B4</f>
        <v/>
      </c>
      <c r="E4" s="3">
        <f>((B4-C4)/C4)*100</f>
        <v/>
      </c>
      <c r="F4">
        <f>IF(B4&gt;=C4,"Above Target",IF(((C4-B4)/C4)*100&lt;=15,"Below Target - Watch","Below Target - Critical"))</f>
        <v/>
      </c>
      <c r="G4">
        <f>IF(B4=10895,"Yes","No - MISMATCH")</f>
        <v/>
      </c>
    </row>
    <row r="5">
      <c r="A5" t="inlineStr">
        <is>
          <t>Personal Care</t>
        </is>
      </c>
      <c r="B5" s="2">
        <f>'Pivot Output'!B5</f>
        <v/>
      </c>
      <c r="C5" s="2">
        <f>_xlfn.XLOOKUP(A5,'Category Targets'!A:A,'Category Targets'!B:B,"Not Found")</f>
        <v/>
      </c>
      <c r="D5" s="2">
        <f>C5-B5</f>
        <v/>
      </c>
      <c r="E5" s="3">
        <f>((B5-C5)/C5)*100</f>
        <v/>
      </c>
      <c r="F5">
        <f>IF(B5&gt;=C5,"Above Target",IF(((C5-B5)/C5)*100&lt;=15,"Below Target - Watch","Below Target - Critical"))</f>
        <v/>
      </c>
      <c r="G5">
        <f>IF(B5=16382,"Yes","No - MISMATCH")</f>
        <v/>
      </c>
    </row>
    <row r="6">
      <c r="A6" t="inlineStr">
        <is>
          <t>Household Essentials</t>
        </is>
      </c>
      <c r="B6" s="2">
        <f>'Pivot Output'!B6</f>
        <v/>
      </c>
      <c r="C6" s="2">
        <f>_xlfn.XLOOKUP(A6,'Category Targets'!A:A,'Category Targets'!B:B,"Not Found")</f>
        <v/>
      </c>
      <c r="D6" s="2">
        <f>C6-B6</f>
        <v/>
      </c>
      <c r="E6" s="3">
        <f>((B6-C6)/C6)*100</f>
        <v/>
      </c>
      <c r="F6">
        <f>IF(B6&gt;=C6,"Above Target",IF(((C6-B6)/C6)*100&lt;=15,"Below Target - Watch","Below Target - Critical"))</f>
        <v/>
      </c>
      <c r="G6">
        <f>IF(B6=21715,"Yes","No - MISMATCH")</f>
        <v/>
      </c>
    </row>
    <row r="7">
      <c r="A7" t="inlineStr">
        <is>
          <t>Bakery</t>
        </is>
      </c>
      <c r="B7" s="2">
        <f>'Pivot Output'!B7</f>
        <v/>
      </c>
      <c r="C7" s="2">
        <f>_xlfn.XLOOKUP(A7,'Category Targets'!A:A,'Category Targets'!B:B,"Not Found")</f>
        <v/>
      </c>
      <c r="D7" s="2">
        <f>C7-B7</f>
        <v/>
      </c>
      <c r="E7" s="3">
        <f>((B7-C7)/C7)*100</f>
        <v/>
      </c>
      <c r="F7">
        <f>IF(B7&gt;=C7,"Above Target",IF(((C7-B7)/C7)*100&lt;=15,"Below Target - Watch","Below Target - Critical"))</f>
        <v/>
      </c>
      <c r="G7">
        <f>IF(B7=15410,"Yes","No - MISMATCH")</f>
        <v/>
      </c>
    </row>
  </sheetData>
  <conditionalFormatting sqref="F2:F7">
    <cfRule type="cellIs" priority="1" operator="equal" dxfId="0">
      <formula>"Above Target"</formula>
    </cfRule>
    <cfRule type="cellIs" priority="2" operator="equal" dxfId="1">
      <formula>"Below Target - Watch"</formula>
    </cfRule>
    <cfRule type="cellIs" priority="3" operator="equal" dxfId="2">
      <formula>"Below Target - Critical"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2026-09-11T07:34:56Z</dcterms:created>
  <dcterms:modified xmlns:dcterms="http://purl.org/dc/terms/" xmlns:xsi="http://www.w3.org/2001/XMLSchema-instance" xsi:type="dcterms:W3CDTF">2026-09-11T07:34:56Z</dcterms:modified>
</cp:coreProperties>
</file>